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0668" windowHeight="9000" activeTab="2"/>
  </bookViews>
  <sheets>
    <sheet name="INTRO" sheetId="3" r:id="rId1"/>
    <sheet name="DATA" sheetId="1" r:id="rId2"/>
    <sheet name="REPORT" sheetId="2" r:id="rId3"/>
  </sheets>
  <definedNames>
    <definedName name="_xlnm.Print_Area" localSheetId="2">REPORT!$A$1:$I$93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E3" i="1" l="1"/>
  <c r="B26" i="1"/>
  <c r="D15" i="2"/>
  <c r="D14" i="2"/>
  <c r="D5" i="2"/>
  <c r="D4" i="2"/>
  <c r="B24" i="1"/>
  <c r="I3" i="1" s="1"/>
  <c r="G2" i="1" l="1"/>
  <c r="G3" i="1"/>
  <c r="G4" i="1"/>
  <c r="I2" i="1"/>
  <c r="B15" i="1"/>
  <c r="B21" i="1" s="1"/>
  <c r="D6" i="2"/>
  <c r="D17" i="2"/>
  <c r="B27" i="1" l="1"/>
  <c r="D18" i="2" s="1"/>
  <c r="D7" i="2"/>
  <c r="B16" i="1"/>
  <c r="D8" i="2" s="1"/>
  <c r="D13" i="2"/>
  <c r="B20" i="1"/>
  <c r="D11" i="2" s="1"/>
  <c r="B19" i="1"/>
  <c r="D12" i="2" s="1"/>
  <c r="B18" i="1"/>
  <c r="D10" i="2" s="1"/>
  <c r="B17" i="1"/>
  <c r="D9" i="2" s="1"/>
  <c r="B25" i="1" l="1"/>
  <c r="E4" i="1" s="1"/>
  <c r="D16" i="2" l="1"/>
  <c r="E5" i="1"/>
</calcChain>
</file>

<file path=xl/sharedStrings.xml><?xml version="1.0" encoding="utf-8"?>
<sst xmlns="http://schemas.openxmlformats.org/spreadsheetml/2006/main" count="91" uniqueCount="80">
  <si>
    <t>STOCK NAME</t>
  </si>
  <si>
    <t>ENTRY PRICE</t>
  </si>
  <si>
    <t>current price</t>
  </si>
  <si>
    <t>capital</t>
  </si>
  <si>
    <t>risk %</t>
  </si>
  <si>
    <t>ATR</t>
  </si>
  <si>
    <t>RISK AMOUNT</t>
  </si>
  <si>
    <t>POSITIONAL SIZE</t>
  </si>
  <si>
    <t>stock name</t>
  </si>
  <si>
    <t>44MA candle</t>
  </si>
  <si>
    <t>ema 20</t>
  </si>
  <si>
    <t>ema 50</t>
  </si>
  <si>
    <t>ema 200</t>
  </si>
  <si>
    <t>RSI</t>
  </si>
  <si>
    <t>supertrend</t>
  </si>
  <si>
    <t>vwap auto anchored</t>
  </si>
  <si>
    <t>supertrend color</t>
  </si>
  <si>
    <t xml:space="preserve">support </t>
  </si>
  <si>
    <t>Resistance</t>
  </si>
  <si>
    <t>TREND OUTPUT</t>
  </si>
  <si>
    <t>STOPLOSS</t>
  </si>
  <si>
    <t>TARGET 1</t>
  </si>
  <si>
    <t>TARGET 2</t>
  </si>
  <si>
    <t>SWING HIGH</t>
  </si>
  <si>
    <t>SWING LOW</t>
  </si>
  <si>
    <t>EXPECTED LOW</t>
  </si>
  <si>
    <t>risk amount</t>
  </si>
  <si>
    <t>TRADE SCORE</t>
  </si>
  <si>
    <t>TRADE SIGNAL</t>
  </si>
  <si>
    <t>TRADE ANALYSIS REPORT</t>
  </si>
  <si>
    <t>CURRENT PRICE</t>
  </si>
  <si>
    <t>TREND</t>
  </si>
  <si>
    <t>CAPITAL</t>
  </si>
  <si>
    <t>RISK %</t>
  </si>
  <si>
    <t>NOTES:</t>
  </si>
  <si>
    <t>• Position size rounded down for risk safety.</t>
  </si>
  <si>
    <t>• Entry valid only above breakout confirmation.</t>
  </si>
  <si>
    <t>• Trend based on EMA stack + VWAP + Supertrend.</t>
  </si>
  <si>
    <t xml:space="preserve">Stock Name → name of the selected company  </t>
  </si>
  <si>
    <t xml:space="preserve">Current Price → market price at analysis  </t>
  </si>
  <si>
    <t xml:space="preserve">Trend → market direction based on EMAs &amp; indicators  </t>
  </si>
  <si>
    <t xml:space="preserve">Entry Price → price level to buy after breakout  </t>
  </si>
  <si>
    <t xml:space="preserve">Stoploss → level to exit if trade fails  </t>
  </si>
  <si>
    <t xml:space="preserve">Targets → profit-taking levels  </t>
  </si>
  <si>
    <t xml:space="preserve">Swing High/Low → ATR-based projections  </t>
  </si>
  <si>
    <t xml:space="preserve">Position Size → shares allowed within risk limit  </t>
  </si>
  <si>
    <t xml:space="preserve">Trade Score → model-based quality rating  </t>
  </si>
  <si>
    <t>Trade Signal → final decision to take or avoid the trade</t>
  </si>
  <si>
    <t>Disclaimer:</t>
  </si>
  <si>
    <t>impacts, or decisions based on this material.</t>
  </si>
  <si>
    <t>This report is for educational use only and not investment advice; trading involves risk, so</t>
  </si>
  <si>
    <t>please do your own research carefully. I am not a SEBI-registered advisor and not</t>
  </si>
  <si>
    <t>responsible for any financial losses incurred. All trade setups, analysis, signals and</t>
  </si>
  <si>
    <t>calculations shown here are hypothetical and  strictly for demonstration purpose only; they</t>
  </si>
  <si>
    <t>must not be interpreted as buy or sell recommendations. Users must evaluate their</t>
  </si>
  <si>
    <t>own risk tolerance and consult qualified financial professionals beofre making trades</t>
  </si>
  <si>
    <t>By using this report, you agree that the author is not liable for losses, market</t>
  </si>
  <si>
    <t>PIE LABEL</t>
  </si>
  <si>
    <t>AMOUNT</t>
  </si>
  <si>
    <t>PROFIT</t>
  </si>
  <si>
    <t>LOSS</t>
  </si>
  <si>
    <t>Bullish</t>
  </si>
  <si>
    <t>Bearish</t>
  </si>
  <si>
    <t>Range</t>
  </si>
  <si>
    <t>safe capital</t>
  </si>
  <si>
    <r>
      <t>Type:</t>
    </r>
    <r>
      <rPr>
        <sz val="11"/>
        <color theme="1"/>
        <rFont val="Calibri"/>
        <charset val="134"/>
        <scheme val="minor"/>
      </rPr>
      <t xml:space="preserve"> Data &amp; Finance Project</t>
    </r>
  </si>
  <si>
    <r>
      <t>Tools Used:</t>
    </r>
    <r>
      <rPr>
        <sz val="11"/>
        <color theme="1"/>
        <rFont val="Calibri"/>
        <charset val="134"/>
        <scheme val="minor"/>
      </rPr>
      <t xml:space="preserve"> Excel, Technical Indicators, Data Visualization, Risk Modeling</t>
    </r>
  </si>
  <si>
    <t>Overview:</t>
  </si>
  <si>
    <t>A decision-support system designed to streamline swing-trading analysis. The model processes market data and applies a structured technical-analysis framework to produce automated Buy/Sell recommendations.</t>
  </si>
  <si>
    <t>Key Features:</t>
  </si>
  <si>
    <r>
      <t>Automated Technical Indicator Engine:</t>
    </r>
    <r>
      <rPr>
        <sz val="11"/>
        <color theme="1"/>
        <rFont val="Calibri"/>
        <charset val="134"/>
        <scheme val="minor"/>
      </rPr>
      <t xml:space="preserve"> Calculates RSI, EMA, swing highs/lows, and momentum shifts.</t>
    </r>
  </si>
  <si>
    <r>
      <t>Trade Signal Algorithm:</t>
    </r>
    <r>
      <rPr>
        <sz val="11"/>
        <color theme="1"/>
        <rFont val="Calibri"/>
        <charset val="134"/>
        <scheme val="minor"/>
      </rPr>
      <t xml:space="preserve"> Scores setups based on risk–reward, volatility, and trend confirmation.</t>
    </r>
  </si>
  <si>
    <r>
      <t>Entry–Exit Insights:</t>
    </r>
    <r>
      <rPr>
        <sz val="11"/>
        <color theme="1"/>
        <rFont val="Calibri"/>
        <charset val="134"/>
        <scheme val="minor"/>
      </rPr>
      <t xml:space="preserve"> Identifies optimal price zones for swing trades.</t>
    </r>
  </si>
  <si>
    <r>
      <t>Decision Summary Panel:</t>
    </r>
    <r>
      <rPr>
        <sz val="11"/>
        <color theme="1"/>
        <rFont val="Calibri"/>
        <charset val="134"/>
        <scheme val="minor"/>
      </rPr>
      <t xml:space="preserve"> Converts analytics into a clear </t>
    </r>
    <r>
      <rPr>
        <b/>
        <sz val="11"/>
        <color theme="1"/>
        <rFont val="Calibri"/>
        <charset val="134"/>
        <scheme val="minor"/>
      </rPr>
      <t>Buy / Sell / Hold</t>
    </r>
    <r>
      <rPr>
        <sz val="11"/>
        <color theme="1"/>
        <rFont val="Calibri"/>
        <charset val="134"/>
        <scheme val="minor"/>
      </rPr>
      <t xml:space="preserve"> output for easy decision-making.</t>
    </r>
  </si>
  <si>
    <r>
      <t>Interactive Dashboards:</t>
    </r>
    <r>
      <rPr>
        <sz val="11"/>
        <color theme="1"/>
        <rFont val="Calibri"/>
        <charset val="134"/>
        <scheme val="minor"/>
      </rPr>
      <t xml:space="preserve"> Charts highlighting trend structure, signal strength, and performance metrics.</t>
    </r>
  </si>
  <si>
    <t>Impact:</t>
  </si>
  <si>
    <t>Improves the speed and accuracy of swing-trade evaluations, giving traders a simplified, data-driven workflow. Built to support beginners and intermediate traders looking for structured decision logic.</t>
  </si>
  <si>
    <r>
      <rPr>
        <b/>
        <sz val="22"/>
        <color theme="1"/>
        <rFont val="Calibri"/>
        <family val="2"/>
        <scheme val="minor"/>
      </rPr>
      <t>Title:</t>
    </r>
    <r>
      <rPr>
        <sz val="22"/>
        <color theme="1"/>
        <rFont val="Calibri"/>
        <family val="2"/>
        <scheme val="minor"/>
      </rPr>
      <t xml:space="preserve"> Swing Trading Analysis Model — Automated Trade Decision System</t>
    </r>
  </si>
  <si>
    <t>red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</si>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</sst>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_ "/>
    <numFmt numFmtId="165" formatCode="0_ "/>
    <numFmt numFmtId="166" formatCode="0.0"/>
  </numFmts>
  <fonts count="15">
    <font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Cambria"/>
      <family val="1"/>
    </font>
    <font>
      <sz val="9"/>
      <color theme="1"/>
      <name val="Cambria"/>
      <family val="1"/>
    </font>
    <font>
      <b/>
      <sz val="11"/>
      <color theme="0"/>
      <name val="Cambria"/>
      <family val="1"/>
    </font>
    <font>
      <b/>
      <sz val="16"/>
      <color theme="0"/>
      <name val="Cambria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164" fontId="2" fillId="0" borderId="0" xfId="0" applyNumberFormat="1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3" borderId="1" xfId="0" applyFont="1" applyFill="1" applyBorder="1" applyAlignment="1">
      <alignment horizontal="right" vertical="center"/>
    </xf>
    <xf numFmtId="10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2" fontId="2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>
      <alignment vertical="center"/>
    </xf>
    <xf numFmtId="2" fontId="2" fillId="3" borderId="1" xfId="0" applyNumberFormat="1" applyFont="1" applyFill="1" applyBorder="1" applyAlignment="1">
      <alignment horizontal="right" vertical="center"/>
    </xf>
    <xf numFmtId="166" fontId="2" fillId="0" borderId="1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0" borderId="0" xfId="0" applyFont="1" applyBorder="1">
      <alignment vertical="center"/>
    </xf>
    <xf numFmtId="0" fontId="7" fillId="0" borderId="0" xfId="0" applyFont="1" applyFill="1">
      <alignment vertical="center"/>
    </xf>
    <xf numFmtId="0" fontId="7" fillId="2" borderId="2" xfId="0" applyFont="1" applyFill="1" applyBorder="1">
      <alignment vertical="center"/>
    </xf>
    <xf numFmtId="0" fontId="7" fillId="4" borderId="2" xfId="0" applyFont="1" applyFill="1" applyBorder="1" applyAlignment="1">
      <alignment horizontal="left" vertical="center"/>
    </xf>
    <xf numFmtId="0" fontId="5" fillId="4" borderId="2" xfId="0" applyFont="1" applyFill="1" applyBorder="1">
      <alignment vertical="center"/>
    </xf>
    <xf numFmtId="0" fontId="7" fillId="2" borderId="3" xfId="0" applyFont="1" applyFill="1" applyBorder="1">
      <alignment vertical="center"/>
    </xf>
    <xf numFmtId="2" fontId="7" fillId="4" borderId="3" xfId="0" applyNumberFormat="1" applyFont="1" applyFill="1" applyBorder="1" applyAlignment="1">
      <alignment horizontal="left" vertical="center"/>
    </xf>
    <xf numFmtId="0" fontId="5" fillId="4" borderId="3" xfId="0" applyFont="1" applyFill="1" applyBorder="1">
      <alignment vertical="center"/>
    </xf>
    <xf numFmtId="0" fontId="7" fillId="4" borderId="3" xfId="0" applyFont="1" applyFill="1" applyBorder="1" applyAlignment="1">
      <alignment horizontal="left" vertical="center"/>
    </xf>
    <xf numFmtId="10" fontId="7" fillId="4" borderId="3" xfId="0" applyNumberFormat="1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6" fillId="0" borderId="0" xfId="0" applyFont="1" applyBorder="1">
      <alignment vertical="center"/>
    </xf>
    <xf numFmtId="49" fontId="3" fillId="3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3" fillId="0" borderId="0" xfId="0" applyFont="1">
      <alignment vertical="center"/>
    </xf>
  </cellXfs>
  <cellStyles count="1">
    <cellStyle name="Normal" xfId="0" builtinId="0"/>
  </cellStyles>
  <dxfs count="20"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ln w="9525" cmpd="dbl"/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900"/>
                      <a:t>CAPITAL, 100000.00 , 82%</a:t>
                    </a:r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2.3782671697287834E-3"/>
                  <c:y val="-3.4659886264216976E-2"/>
                </c:manualLayout>
              </c:layout>
              <c:tx>
                <c:rich>
                  <a:bodyPr/>
                  <a:lstStyle/>
                  <a:p>
                    <a:r>
                      <a:rPr lang="en-US" sz="900"/>
                      <a:t>PROFIT, 13421.10 , 11%</a:t>
                    </a:r>
                    <a:endParaRPr lang="en-US" sz="60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6.575418307086614E-2"/>
                  <c:y val="-1.2724919801691456E-2"/>
                </c:manualLayout>
              </c:layout>
              <c:tx>
                <c:rich>
                  <a:bodyPr/>
                  <a:lstStyle/>
                  <a:p>
                    <a:r>
                      <a:rPr lang="en-US" sz="900"/>
                      <a:t>LOSS, 8947.40 , 7%</a:t>
                    </a:r>
                    <a:endParaRPr lang="en-US" sz="70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DATA!$D$3:$D$5</c:f>
              <c:strCache>
                <c:ptCount val="3"/>
                <c:pt idx="0">
                  <c:v>CAPITAL</c:v>
                </c:pt>
                <c:pt idx="1">
                  <c:v>PROFIT</c:v>
                </c:pt>
                <c:pt idx="2">
                  <c:v>LOSS</c:v>
                </c:pt>
              </c:strCache>
            </c:strRef>
          </c:cat>
          <c:val>
            <c:numRef>
              <c:f>DATA!$E$3:$E$5</c:f>
              <c:numCache>
                <c:formatCode>0.00_ </c:formatCode>
                <c:ptCount val="3"/>
                <c:pt idx="0">
                  <c:v>100000</c:v>
                </c:pt>
                <c:pt idx="1">
                  <c:v>3967.5299999999902</c:v>
                </c:pt>
                <c:pt idx="2">
                  <c:v>1983.764999999984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delete val="1"/>
            </c:dLbl>
            <c:dLbl>
              <c:idx val="1"/>
              <c:layout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700"/>
                      <a:t>Bearish, 1, 100.00%</a:t>
                    </a:r>
                  </a:p>
                </c:rich>
              </c:tx>
              <c:numFmt formatCode="0.00%" sourceLinked="0"/>
              <c:spPr/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2"/>
              <c:delete val="1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DATA!$F$2:$F$4</c:f>
              <c:strCache>
                <c:ptCount val="3"/>
                <c:pt idx="0">
                  <c:v>Bullish</c:v>
                </c:pt>
                <c:pt idx="1">
                  <c:v>Bearish</c:v>
                </c:pt>
                <c:pt idx="2">
                  <c:v>Range</c:v>
                </c:pt>
              </c:strCache>
            </c:strRef>
          </c:cat>
          <c:val>
            <c:numRef>
              <c:f>DATA!$G$2:$G$4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DATA!$H$2:$H$3</c:f>
              <c:strCache>
                <c:ptCount val="2"/>
                <c:pt idx="0">
                  <c:v>risk amount</c:v>
                </c:pt>
                <c:pt idx="1">
                  <c:v>safe capital</c:v>
                </c:pt>
              </c:strCache>
            </c:strRef>
          </c:cat>
          <c:val>
            <c:numRef>
              <c:f>DATA!$I$2:$I$3</c:f>
              <c:numCache>
                <c:formatCode>General</c:formatCode>
                <c:ptCount val="2"/>
                <c:pt idx="0">
                  <c:v>2000</c:v>
                </c:pt>
                <c:pt idx="1">
                  <c:v>98000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495360"/>
        <c:axId val="189779904"/>
      </c:barChart>
      <c:catAx>
        <c:axId val="220495360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89779904"/>
        <c:crosses val="autoZero"/>
        <c:auto val="1"/>
        <c:lblAlgn val="ctr"/>
        <c:lblOffset val="100"/>
        <c:noMultiLvlLbl val="0"/>
      </c:catAx>
      <c:valAx>
        <c:axId val="1897799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0495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ln w="9525" cmpd="dbl"/>
            </c:spPr>
          </c:dPt>
          <c:dLbls>
            <c:dLbl>
              <c:idx val="0"/>
              <c:layout>
                <c:manualLayout>
                  <c:x val="1.7696631671041067E-2"/>
                  <c:y val="-0.2402307524059492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7.6128827646544231E-2"/>
                  <c:y val="-3.2859434237386994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0.12611023622047235"/>
                  <c:y val="3.05008748906386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DATA!$D$3:$D$5</c:f>
              <c:strCache>
                <c:ptCount val="3"/>
                <c:pt idx="0">
                  <c:v>CAPITAL</c:v>
                </c:pt>
                <c:pt idx="1">
                  <c:v>PROFIT</c:v>
                </c:pt>
                <c:pt idx="2">
                  <c:v>LOSS</c:v>
                </c:pt>
              </c:strCache>
            </c:strRef>
          </c:cat>
          <c:val>
            <c:numRef>
              <c:f>DATA!$E$3:$E$5</c:f>
              <c:numCache>
                <c:formatCode>0.00_ </c:formatCode>
                <c:ptCount val="3"/>
                <c:pt idx="0">
                  <c:v>100000</c:v>
                </c:pt>
                <c:pt idx="1">
                  <c:v>3967.5299999999902</c:v>
                </c:pt>
                <c:pt idx="2">
                  <c:v>1983.764999999984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delete val="1"/>
            </c:dLbl>
            <c:dLbl>
              <c:idx val="1"/>
              <c:layout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700"/>
                      <a:t>Bearish, 1, 100.00%</a:t>
                    </a:r>
                  </a:p>
                </c:rich>
              </c:tx>
              <c:numFmt formatCode="0.00%" sourceLinked="0"/>
              <c:spPr/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2"/>
              <c:delete val="1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DATA!$F$2:$F$4</c:f>
              <c:strCache>
                <c:ptCount val="3"/>
                <c:pt idx="0">
                  <c:v>Bullish</c:v>
                </c:pt>
                <c:pt idx="1">
                  <c:v>Bearish</c:v>
                </c:pt>
                <c:pt idx="2">
                  <c:v>Range</c:v>
                </c:pt>
              </c:strCache>
            </c:strRef>
          </c:cat>
          <c:val>
            <c:numRef>
              <c:f>DATA!$G$2:$G$4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DATA!$H$2:$H$3</c:f>
              <c:strCache>
                <c:ptCount val="2"/>
                <c:pt idx="0">
                  <c:v>risk amount</c:v>
                </c:pt>
                <c:pt idx="1">
                  <c:v>safe capital</c:v>
                </c:pt>
              </c:strCache>
            </c:strRef>
          </c:cat>
          <c:val>
            <c:numRef>
              <c:f>DATA!$I$2:$I$3</c:f>
              <c:numCache>
                <c:formatCode>General</c:formatCode>
                <c:ptCount val="2"/>
                <c:pt idx="0">
                  <c:v>2000</c:v>
                </c:pt>
                <c:pt idx="1">
                  <c:v>98000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726848"/>
        <c:axId val="220561408"/>
      </c:barChart>
      <c:catAx>
        <c:axId val="195726848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220561408"/>
        <c:crosses val="autoZero"/>
        <c:auto val="1"/>
        <c:lblAlgn val="ctr"/>
        <c:lblOffset val="100"/>
        <c:noMultiLvlLbl val="0"/>
      </c:catAx>
      <c:valAx>
        <c:axId val="2205614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5726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5</xdr:row>
      <xdr:rowOff>224790</xdr:rowOff>
    </xdr:from>
    <xdr:to>
      <xdr:col>4</xdr:col>
      <xdr:colOff>167640</xdr:colOff>
      <xdr:row>17</xdr:row>
      <xdr:rowOff>224790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525780</xdr:colOff>
      <xdr:row>6</xdr:row>
      <xdr:rowOff>41910</xdr:rowOff>
    </xdr:from>
    <xdr:to>
      <xdr:col>5</xdr:col>
      <xdr:colOff>1440180</xdr:colOff>
      <xdr:row>15</xdr:row>
      <xdr:rowOff>68580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182880</xdr:colOff>
      <xdr:row>5</xdr:row>
      <xdr:rowOff>217170</xdr:rowOff>
    </xdr:from>
    <xdr:to>
      <xdr:col>8</xdr:col>
      <xdr:colOff>1455420</xdr:colOff>
      <xdr:row>17</xdr:row>
      <xdr:rowOff>217170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48</xdr:row>
      <xdr:rowOff>99060</xdr:rowOff>
    </xdr:from>
    <xdr:to>
      <xdr:col>7</xdr:col>
      <xdr:colOff>487680</xdr:colOff>
      <xdr:row>62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83820</xdr:colOff>
      <xdr:row>63</xdr:row>
      <xdr:rowOff>60960</xdr:rowOff>
    </xdr:from>
    <xdr:to>
      <xdr:col>7</xdr:col>
      <xdr:colOff>541020</xdr:colOff>
      <xdr:row>75</xdr:row>
      <xdr:rowOff>41910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99060</xdr:colOff>
      <xdr:row>76</xdr:row>
      <xdr:rowOff>30480</xdr:rowOff>
    </xdr:from>
    <xdr:to>
      <xdr:col>7</xdr:col>
      <xdr:colOff>586740</xdr:colOff>
      <xdr:row>91</xdr:row>
      <xdr:rowOff>144780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showGridLines="0" workbookViewId="0">
      <selection activeCell="F23" sqref="F23"/>
    </sheetView>
  </sheetViews>
  <sheetFormatPr defaultRowHeight="14.4"/>
  <sheetData>
    <row r="1" spans="1:1" ht="16.2" customHeight="1">
      <c r="A1" s="42"/>
    </row>
    <row r="2" spans="1:1" ht="28.8">
      <c r="A2" s="46" t="s">
        <v>77</v>
      </c>
    </row>
    <row r="3" spans="1:1">
      <c r="A3" s="43" t="s">
        <v>65</v>
      </c>
    </row>
    <row r="4" spans="1:1">
      <c r="A4" s="43" t="s">
        <v>66</v>
      </c>
    </row>
    <row r="6" spans="1:1">
      <c r="A6" s="43" t="s">
        <v>67</v>
      </c>
    </row>
    <row r="7" spans="1:1">
      <c r="A7" t="s">
        <v>68</v>
      </c>
    </row>
    <row r="9" spans="1:1">
      <c r="A9" s="43" t="s">
        <v>69</v>
      </c>
    </row>
    <row r="10" spans="1:1">
      <c r="A10" s="44"/>
    </row>
    <row r="11" spans="1:1">
      <c r="A11" s="45" t="s">
        <v>70</v>
      </c>
    </row>
    <row r="12" spans="1:1">
      <c r="A12" s="44"/>
    </row>
    <row r="13" spans="1:1">
      <c r="A13" s="45" t="s">
        <v>71</v>
      </c>
    </row>
    <row r="14" spans="1:1">
      <c r="A14" s="44"/>
    </row>
    <row r="15" spans="1:1">
      <c r="A15" s="45" t="s">
        <v>72</v>
      </c>
    </row>
    <row r="16" spans="1:1">
      <c r="A16" s="44"/>
    </row>
    <row r="17" spans="1:1">
      <c r="A17" s="45" t="s">
        <v>73</v>
      </c>
    </row>
    <row r="18" spans="1:1">
      <c r="A18" s="44"/>
    </row>
    <row r="19" spans="1:1">
      <c r="A19" s="45" t="s">
        <v>74</v>
      </c>
    </row>
    <row r="21" spans="1:1">
      <c r="A21" s="43" t="s">
        <v>75</v>
      </c>
    </row>
    <row r="22" spans="1:1">
      <c r="A22" t="s">
        <v>76</v>
      </c>
    </row>
  </sheetData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="85" zoomScaleNormal="85" workbookViewId="0">
      <selection activeCell="D20" sqref="D20"/>
    </sheetView>
  </sheetViews>
  <sheetFormatPr defaultColWidth="24.5546875" defaultRowHeight="18"/>
  <cols>
    <col min="1" max="1" width="30.6640625" style="1" customWidth="1"/>
    <col min="2" max="2" width="27.88671875" style="2" customWidth="1"/>
    <col min="3" max="4" width="23.5546875" style="1" customWidth="1"/>
    <col min="5" max="7" width="23.5546875" style="2" customWidth="1"/>
    <col min="8" max="8" width="24.5546875" style="1" customWidth="1"/>
    <col min="9" max="16384" width="24.5546875" style="1"/>
  </cols>
  <sheetData>
    <row r="1" spans="1:9">
      <c r="A1" s="14" t="s">
        <v>8</v>
      </c>
      <c r="B1" s="37" t="s">
        <v>79</v>
      </c>
      <c r="E1" s="3"/>
    </row>
    <row r="2" spans="1:9">
      <c r="A2" s="6" t="s">
        <v>2</v>
      </c>
      <c r="B2" s="15">
        <v>2759</v>
      </c>
      <c r="D2" s="38" t="s">
        <v>57</v>
      </c>
      <c r="E2" s="39" t="s">
        <v>58</v>
      </c>
      <c r="F2" s="7" t="s">
        <v>61</v>
      </c>
      <c r="G2" s="7">
        <f>IF(B14="Bullish",1,0)</f>
        <v>0</v>
      </c>
      <c r="H2" s="6" t="s">
        <v>26</v>
      </c>
      <c r="I2" s="6">
        <f>B24</f>
        <v>2000</v>
      </c>
    </row>
    <row r="3" spans="1:9">
      <c r="A3" s="6" t="s">
        <v>9</v>
      </c>
      <c r="B3" s="15">
        <v>2694.72</v>
      </c>
      <c r="D3" s="38" t="s">
        <v>32</v>
      </c>
      <c r="E3" s="40">
        <f>B22</f>
        <v>100000</v>
      </c>
      <c r="F3" s="7" t="s">
        <v>62</v>
      </c>
      <c r="G3" s="7">
        <f>IF(B14="Bearish",1,0)</f>
        <v>0</v>
      </c>
      <c r="H3" s="6" t="s">
        <v>64</v>
      </c>
      <c r="I3" s="6">
        <f>B22-B24</f>
        <v>98000</v>
      </c>
    </row>
    <row r="4" spans="1:9">
      <c r="A4" s="6" t="s">
        <v>10</v>
      </c>
      <c r="B4" s="15">
        <v>2829.48</v>
      </c>
      <c r="D4" s="38" t="s">
        <v>59</v>
      </c>
      <c r="E4" s="40">
        <f>MAX(0, (B17-B15)*B25)</f>
        <v>3967.5299999999902</v>
      </c>
      <c r="F4" s="41" t="s">
        <v>63</v>
      </c>
      <c r="G4" s="10">
        <f>IF(B14="Range",1,0)</f>
        <v>0</v>
      </c>
      <c r="H4" s="6"/>
      <c r="I4" s="6"/>
    </row>
    <row r="5" spans="1:9">
      <c r="A5" s="6" t="s">
        <v>11</v>
      </c>
      <c r="B5" s="15">
        <v>2716.3</v>
      </c>
      <c r="D5" s="38" t="s">
        <v>60</v>
      </c>
      <c r="E5" s="40">
        <f xml:space="preserve"> MAX(0, (B15 - B16) * B25)</f>
        <v>1983.764999999984</v>
      </c>
      <c r="F5" s="4"/>
      <c r="G5" s="4"/>
    </row>
    <row r="6" spans="1:9">
      <c r="A6" s="6" t="s">
        <v>12</v>
      </c>
      <c r="B6" s="15">
        <v>2550.98</v>
      </c>
    </row>
    <row r="7" spans="1:9">
      <c r="A7" s="6" t="s">
        <v>13</v>
      </c>
      <c r="B7" s="15">
        <v>43.78</v>
      </c>
      <c r="E7" s="3"/>
    </row>
    <row r="8" spans="1:9">
      <c r="A8" s="6" t="s">
        <v>14</v>
      </c>
      <c r="B8" s="15">
        <v>2938.67</v>
      </c>
    </row>
    <row r="9" spans="1:9">
      <c r="A9" s="6" t="s">
        <v>16</v>
      </c>
      <c r="B9" s="12" t="s">
        <v>78</v>
      </c>
    </row>
    <row r="10" spans="1:9">
      <c r="A10" s="6" t="s">
        <v>17</v>
      </c>
      <c r="B10" s="15">
        <v>2926.9</v>
      </c>
      <c r="E10" s="5"/>
    </row>
    <row r="11" spans="1:9">
      <c r="A11" s="6" t="s">
        <v>15</v>
      </c>
      <c r="B11" s="15">
        <v>2894.91</v>
      </c>
      <c r="F11" s="4"/>
      <c r="G11" s="4"/>
    </row>
    <row r="12" spans="1:9">
      <c r="A12" s="6" t="s">
        <v>18</v>
      </c>
      <c r="B12" s="15">
        <v>2479.9</v>
      </c>
      <c r="E12" s="3"/>
      <c r="F12" s="3"/>
      <c r="G12" s="3"/>
    </row>
    <row r="13" spans="1:9">
      <c r="A13" s="6" t="s">
        <v>5</v>
      </c>
      <c r="B13" s="15">
        <v>53.98</v>
      </c>
      <c r="E13" s="3"/>
      <c r="F13" s="3"/>
      <c r="G13" s="3"/>
    </row>
    <row r="14" spans="1:9">
      <c r="A14" s="6" t="s">
        <v>19</v>
      </c>
      <c r="B14" s="10" t="str">
        <f>IF((IF(B2&gt;B4,1,0)+IF(B4&gt;B5,1,0)+IF(B5&gt;B6,1,0)+IF(B2&gt;B3,1,0)+IF(B2&gt;B11,1,0)+IF(LEFT(LOWER(B9),3)="green",1,0))&gt;=4,"Bullish",
 IF((IF(B2&lt;B4,1,0)+IF(B4&lt;B5,1,0)+IF(B5&lt;B6,1,0)+IF(B2&lt;B3,1,0)+IF(B2&lt;B11,1,0)+IF(LEFT(LOWER(B9),3)="red",1,0))&gt;=4,"Bearish","Side Range"))</f>
        <v>Side Range</v>
      </c>
    </row>
    <row r="15" spans="1:9">
      <c r="A15" s="6" t="s">
        <v>1</v>
      </c>
      <c r="B15" s="13">
        <f>IF(B14="Bullish",
    MAX(B4,B3,B11) - (0.1 * B13),
 IF(B14="Bearish",
    B12 + (0.25 * B13),
    B10 + (0.25 * B13)))</f>
        <v>2940.395</v>
      </c>
    </row>
    <row r="16" spans="1:9">
      <c r="A16" s="6" t="s">
        <v>20</v>
      </c>
      <c r="B16" s="13">
        <f>IF(B14="Bullish",
    B15 - (1 * B13),
 IF(B14="Bearish",
    B15 - (1 * B13),
    B10 - (0.5 * B13)))</f>
        <v>2899.9100000000003</v>
      </c>
    </row>
    <row r="17" spans="1:7">
      <c r="A17" s="6" t="s">
        <v>21</v>
      </c>
      <c r="B17" s="13">
        <f>B15+(1.5*B13)</f>
        <v>3021.3649999999998</v>
      </c>
    </row>
    <row r="18" spans="1:7">
      <c r="A18" s="6" t="s">
        <v>22</v>
      </c>
      <c r="B18" s="13">
        <f>B15+(2.5*B13)</f>
        <v>3075.3449999999998</v>
      </c>
      <c r="E18" s="3"/>
    </row>
    <row r="19" spans="1:7">
      <c r="A19" s="6" t="s">
        <v>24</v>
      </c>
      <c r="B19" s="13">
        <f>B15 - (1 * B13)</f>
        <v>2886.415</v>
      </c>
      <c r="E19" s="4"/>
      <c r="F19" s="4"/>
      <c r="G19" s="4"/>
    </row>
    <row r="20" spans="1:7">
      <c r="A20" s="6" t="s">
        <v>23</v>
      </c>
      <c r="B20" s="13">
        <f>B15 + (3 * B13)</f>
        <v>3102.335</v>
      </c>
      <c r="E20" s="3"/>
      <c r="F20" s="3"/>
      <c r="G20" s="3"/>
    </row>
    <row r="21" spans="1:7">
      <c r="A21" s="6" t="s">
        <v>25</v>
      </c>
      <c r="B21" s="13">
        <f>B15 - (2 * B13)</f>
        <v>2832.4349999999999</v>
      </c>
      <c r="E21" s="3"/>
    </row>
    <row r="22" spans="1:7">
      <c r="A22" s="6" t="s">
        <v>3</v>
      </c>
      <c r="B22" s="8">
        <v>100000</v>
      </c>
      <c r="E22" s="3"/>
    </row>
    <row r="23" spans="1:7">
      <c r="A23" s="6" t="s">
        <v>4</v>
      </c>
      <c r="B23" s="9">
        <v>0.02</v>
      </c>
    </row>
    <row r="24" spans="1:7">
      <c r="A24" s="6" t="s">
        <v>6</v>
      </c>
      <c r="B24" s="10">
        <f>B22*B23</f>
        <v>2000</v>
      </c>
    </row>
    <row r="25" spans="1:7">
      <c r="A25" s="6" t="s">
        <v>7</v>
      </c>
      <c r="B25" s="16">
        <f>IF(B16&gt;0, ROUNDDOWN(B24 / ABS(B15 - B16), 0), "")</f>
        <v>49</v>
      </c>
    </row>
    <row r="26" spans="1:7">
      <c r="A26" s="6" t="s">
        <v>27</v>
      </c>
      <c r="B26" s="10">
        <f>ROUND(
  ( IF(B14="Bullish",2,IF(B14="Bearish",1,0))
  + IF(LEFT(LOWER(B9),3)="gre",2,0)
  + IF(B7&gt;=50,1,0)
  + IF(B2&gt;B11,1,0)
  + IF(B2&gt; B4,1,0)
  + IF(ABS(B2 - B10) &lt;= B13,1,0)
  ) * (10/8),0)</f>
        <v>0</v>
      </c>
    </row>
    <row r="27" spans="1:7">
      <c r="A27" s="14" t="s">
        <v>28</v>
      </c>
      <c r="B27" s="11" t="str">
        <f>IF(B26&gt;=7,
     IF(B14="Bullish",
        IF(B15&lt;=B2,"BUY","WAIT"),
     IF(B14="Bearish",
        IF(B15&gt;B2,"BREAKOUT BUY","WAIT"),
     IF(AND(B14="Range", B26&gt;=8, B15&lt;=B2),"BUY","AVOID"))),
  "AVOID")</f>
        <v>AVOID</v>
      </c>
    </row>
  </sheetData>
  <conditionalFormatting sqref="B27">
    <cfRule type="cellIs" dxfId="2" priority="4" operator="equal">
      <formula>"AVOID"</formula>
    </cfRule>
    <cfRule type="cellIs" dxfId="1" priority="5" operator="equal">
      <formula>"breakout buy"</formula>
    </cfRule>
    <cfRule type="cellIs" dxfId="0" priority="6" operator="equal">
      <formula>"Buy"</formula>
    </cfRule>
  </conditionalFormatting>
  <conditionalFormatting sqref="B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{9668CAC0-9C6E-4FA7-8746-39B25E6AF081}</x14:id>
        </ext>
      </extLst>
    </cfRule>
  </conditionalFormatting>
  <conditionalFormatting sqref="B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{897D2D2C-5DC7-4AFF-B597-AC26EA695663}</x14:id>
        </ext>
      </extLst>
    </cfRule>
  </conditionalFormatting>
  <conditionalFormatting sqref="B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{5C4F4C44-EFC1-4231-B273-478CD7983D33}</x14:id>
        </ext>
      </extLst>
    </cfRule>
  </conditionalFormatting>
  <pageMargins left="0.75" right="0.75" top="1" bottom="1" header="0.5" footer="0.5"/>
  <pageSetup orientation="portrait" r:id="rId1"/>
  <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68CAC0-9C6E-4FA7-8746-39B25E6AF0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B7</xm:sqref>
        </x14:conditionalFormatting>
        <x14:conditionalFormatting xmlns:xm="http://schemas.microsoft.com/office/excel/2006/main">
          <x14:cfRule type="dataBar" id="{897D2D2C-5DC7-4AFF-B597-AC26EA6956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5C4F4C44-EFC1-4231-B273-478CD7983D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44"/>
  <sheetViews>
    <sheetView showGridLines="0" tabSelected="1" showWhiteSpace="0" topLeftCell="A25" zoomScale="130" zoomScaleNormal="130" workbookViewId="0">
      <selection activeCell="B18" sqref="B18"/>
    </sheetView>
  </sheetViews>
  <sheetFormatPr defaultRowHeight="13.8"/>
  <cols>
    <col min="1" max="1" width="7.6640625" style="17" customWidth="1"/>
    <col min="2" max="2" width="8.88671875" style="17" customWidth="1"/>
    <col min="3" max="3" width="10.6640625" style="17" customWidth="1"/>
    <col min="4" max="4" width="9.88671875" style="17" customWidth="1"/>
    <col min="5" max="5" width="8.88671875" style="17" customWidth="1"/>
    <col min="6" max="6" width="10.21875" style="17" customWidth="1"/>
    <col min="7" max="10" width="8.88671875" style="17" customWidth="1"/>
    <col min="11" max="16384" width="8.88671875" style="17"/>
  </cols>
  <sheetData>
    <row r="2" spans="2:9" s="22" customFormat="1" ht="20.399999999999999">
      <c r="B2" s="20" t="s">
        <v>29</v>
      </c>
      <c r="C2" s="19"/>
      <c r="D2" s="19"/>
      <c r="E2" s="21"/>
      <c r="F2" s="21"/>
      <c r="G2" s="21"/>
      <c r="H2" s="17"/>
      <c r="I2" s="17"/>
    </row>
    <row r="3" spans="2:9" s="22" customFormat="1">
      <c r="B3" s="23"/>
      <c r="C3" s="23"/>
      <c r="D3" s="23"/>
      <c r="E3" s="17"/>
      <c r="F3" s="17"/>
      <c r="G3" s="17"/>
      <c r="H3" s="17"/>
      <c r="I3" s="17"/>
    </row>
    <row r="4" spans="2:9" s="22" customFormat="1">
      <c r="B4" s="24" t="s">
        <v>0</v>
      </c>
      <c r="C4" s="24"/>
      <c r="D4" s="25" t="str">
        <f>DATA!B1</f>
        <v>XYZ</v>
      </c>
      <c r="E4" s="26"/>
      <c r="F4" s="26"/>
    </row>
    <row r="5" spans="2:9" s="22" customFormat="1">
      <c r="B5" s="27" t="s">
        <v>30</v>
      </c>
      <c r="C5" s="27"/>
      <c r="D5" s="28">
        <f>DATA!B2</f>
        <v>2759</v>
      </c>
      <c r="E5" s="29"/>
      <c r="F5" s="29"/>
    </row>
    <row r="6" spans="2:9" s="22" customFormat="1">
      <c r="B6" s="27" t="s">
        <v>31</v>
      </c>
      <c r="C6" s="27"/>
      <c r="D6" s="30" t="str">
        <f>DATA!B14</f>
        <v>Side Range</v>
      </c>
      <c r="E6" s="29"/>
      <c r="F6" s="29"/>
    </row>
    <row r="7" spans="2:9" s="22" customFormat="1">
      <c r="B7" s="27" t="s">
        <v>1</v>
      </c>
      <c r="C7" s="27"/>
      <c r="D7" s="28">
        <f>DATA!B15</f>
        <v>2940.395</v>
      </c>
      <c r="E7" s="29"/>
      <c r="F7" s="29"/>
    </row>
    <row r="8" spans="2:9" s="22" customFormat="1">
      <c r="B8" s="27" t="s">
        <v>20</v>
      </c>
      <c r="C8" s="27"/>
      <c r="D8" s="28">
        <f>DATA!B16</f>
        <v>2899.9100000000003</v>
      </c>
      <c r="E8" s="29"/>
      <c r="F8" s="29"/>
    </row>
    <row r="9" spans="2:9" s="22" customFormat="1">
      <c r="B9" s="27" t="s">
        <v>21</v>
      </c>
      <c r="C9" s="27"/>
      <c r="D9" s="28">
        <f>DATA!B17</f>
        <v>3021.3649999999998</v>
      </c>
      <c r="E9" s="29"/>
      <c r="F9" s="29"/>
    </row>
    <row r="10" spans="2:9" s="22" customFormat="1">
      <c r="B10" s="27" t="s">
        <v>22</v>
      </c>
      <c r="C10" s="27"/>
      <c r="D10" s="28">
        <f>DATA!B18</f>
        <v>3075.3449999999998</v>
      </c>
      <c r="E10" s="29"/>
      <c r="F10" s="29"/>
    </row>
    <row r="11" spans="2:9" s="22" customFormat="1">
      <c r="B11" s="27" t="s">
        <v>23</v>
      </c>
      <c r="C11" s="27"/>
      <c r="D11" s="28">
        <f>DATA!B20</f>
        <v>3102.335</v>
      </c>
      <c r="E11" s="29"/>
      <c r="F11" s="29"/>
    </row>
    <row r="12" spans="2:9" s="22" customFormat="1">
      <c r="B12" s="27" t="s">
        <v>24</v>
      </c>
      <c r="C12" s="27"/>
      <c r="D12" s="28">
        <f>DATA!B19</f>
        <v>2886.415</v>
      </c>
      <c r="E12" s="29"/>
      <c r="F12" s="29"/>
    </row>
    <row r="13" spans="2:9" s="22" customFormat="1">
      <c r="B13" s="27" t="s">
        <v>25</v>
      </c>
      <c r="C13" s="27"/>
      <c r="D13" s="28">
        <f>DATA!B21</f>
        <v>2832.4349999999999</v>
      </c>
      <c r="E13" s="29"/>
      <c r="F13" s="29"/>
    </row>
    <row r="14" spans="2:9" s="22" customFormat="1">
      <c r="B14" s="27" t="s">
        <v>32</v>
      </c>
      <c r="C14" s="27"/>
      <c r="D14" s="30">
        <f>DATA!B22</f>
        <v>100000</v>
      </c>
      <c r="E14" s="29"/>
      <c r="F14" s="29"/>
    </row>
    <row r="15" spans="2:9" s="22" customFormat="1">
      <c r="B15" s="27" t="s">
        <v>33</v>
      </c>
      <c r="C15" s="27"/>
      <c r="D15" s="31">
        <f>DATA!B23</f>
        <v>0.02</v>
      </c>
      <c r="E15" s="29"/>
      <c r="F15" s="29"/>
    </row>
    <row r="16" spans="2:9" s="22" customFormat="1">
      <c r="B16" s="27" t="s">
        <v>7</v>
      </c>
      <c r="C16" s="27"/>
      <c r="D16" s="30">
        <f>DATA!B25</f>
        <v>49</v>
      </c>
      <c r="E16" s="29"/>
      <c r="F16" s="29"/>
    </row>
    <row r="17" spans="2:6" s="22" customFormat="1">
      <c r="B17" s="27" t="s">
        <v>27</v>
      </c>
      <c r="C17" s="27"/>
      <c r="D17" s="30">
        <f>DATA!B26</f>
        <v>0</v>
      </c>
      <c r="E17" s="29"/>
      <c r="F17" s="29"/>
    </row>
    <row r="18" spans="2:6" s="22" customFormat="1">
      <c r="B18" s="19" t="s">
        <v>28</v>
      </c>
      <c r="C18" s="19"/>
      <c r="D18" s="32" t="str">
        <f>DATA!B27</f>
        <v>AVOID</v>
      </c>
      <c r="E18" s="33"/>
      <c r="F18" s="33"/>
    </row>
    <row r="20" spans="2:6">
      <c r="B20" s="18" t="s">
        <v>34</v>
      </c>
      <c r="C20" s="18"/>
      <c r="D20" s="18"/>
      <c r="E20" s="18"/>
      <c r="F20" s="18"/>
    </row>
    <row r="21" spans="2:6">
      <c r="B21" s="18" t="s">
        <v>35</v>
      </c>
      <c r="C21" s="18"/>
      <c r="D21" s="18"/>
      <c r="E21" s="18"/>
      <c r="F21" s="18"/>
    </row>
    <row r="22" spans="2:6">
      <c r="B22" s="18" t="s">
        <v>36</v>
      </c>
      <c r="C22" s="18"/>
      <c r="D22" s="18"/>
      <c r="E22" s="18"/>
      <c r="F22" s="18"/>
    </row>
    <row r="23" spans="2:6">
      <c r="B23" s="18" t="s">
        <v>37</v>
      </c>
      <c r="C23" s="18"/>
      <c r="D23" s="18"/>
      <c r="E23" s="18"/>
      <c r="F23" s="18"/>
    </row>
    <row r="24" spans="2:6">
      <c r="B24" s="18"/>
      <c r="C24" s="18"/>
      <c r="D24" s="18"/>
      <c r="E24" s="18"/>
      <c r="F24" s="18"/>
    </row>
    <row r="25" spans="2:6">
      <c r="B25" s="18" t="s">
        <v>38</v>
      </c>
      <c r="C25" s="18"/>
      <c r="D25" s="18"/>
      <c r="E25" s="18"/>
      <c r="F25" s="18"/>
    </row>
    <row r="26" spans="2:6">
      <c r="B26" s="18" t="s">
        <v>39</v>
      </c>
      <c r="C26" s="18"/>
      <c r="D26" s="18"/>
      <c r="E26" s="18"/>
      <c r="F26" s="18"/>
    </row>
    <row r="27" spans="2:6">
      <c r="B27" s="18" t="s">
        <v>40</v>
      </c>
      <c r="C27" s="18"/>
      <c r="D27" s="18"/>
      <c r="E27" s="18"/>
      <c r="F27" s="18"/>
    </row>
    <row r="28" spans="2:6">
      <c r="B28" s="18" t="s">
        <v>41</v>
      </c>
      <c r="C28" s="18"/>
      <c r="D28" s="18"/>
      <c r="E28" s="18"/>
      <c r="F28" s="18"/>
    </row>
    <row r="29" spans="2:6">
      <c r="B29" s="18" t="s">
        <v>42</v>
      </c>
      <c r="C29" s="18"/>
      <c r="D29" s="18"/>
      <c r="E29" s="18"/>
      <c r="F29" s="18"/>
    </row>
    <row r="30" spans="2:6">
      <c r="B30" s="18" t="s">
        <v>43</v>
      </c>
      <c r="C30" s="18"/>
      <c r="D30" s="18"/>
      <c r="E30" s="18"/>
      <c r="F30" s="18"/>
    </row>
    <row r="31" spans="2:6">
      <c r="B31" s="18" t="s">
        <v>44</v>
      </c>
      <c r="C31" s="18"/>
      <c r="D31" s="18"/>
      <c r="E31" s="18"/>
      <c r="F31" s="18"/>
    </row>
    <row r="32" spans="2:6">
      <c r="B32" s="18" t="s">
        <v>45</v>
      </c>
      <c r="C32" s="18"/>
      <c r="D32" s="18"/>
      <c r="E32" s="18"/>
      <c r="F32" s="18"/>
    </row>
    <row r="33" spans="2:18">
      <c r="B33" s="18" t="s">
        <v>46</v>
      </c>
      <c r="C33" s="18"/>
      <c r="D33" s="18"/>
      <c r="E33" s="18"/>
      <c r="F33" s="18"/>
    </row>
    <row r="34" spans="2:18">
      <c r="B34" s="18" t="s">
        <v>47</v>
      </c>
      <c r="C34" s="18"/>
      <c r="D34" s="18"/>
      <c r="E34" s="18"/>
      <c r="F34" s="18"/>
    </row>
    <row r="35" spans="2:18">
      <c r="B35" s="18"/>
      <c r="C35" s="18"/>
      <c r="D35" s="18"/>
      <c r="E35" s="18"/>
      <c r="F35" s="18"/>
    </row>
    <row r="36" spans="2:18">
      <c r="B36" s="34"/>
      <c r="C36" s="34" t="s">
        <v>48</v>
      </c>
      <c r="D36" s="18"/>
      <c r="E36" s="18"/>
      <c r="F36" s="18"/>
    </row>
    <row r="37" spans="2:18">
      <c r="B37" s="35" t="s">
        <v>50</v>
      </c>
      <c r="C37" s="36"/>
      <c r="D37" s="36"/>
      <c r="E37" s="36"/>
      <c r="F37" s="36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2:18">
      <c r="B38" s="35" t="s">
        <v>51</v>
      </c>
      <c r="C38" s="36"/>
      <c r="D38" s="36"/>
      <c r="E38" s="36"/>
      <c r="F38" s="36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>
      <c r="B39" s="35" t="s">
        <v>52</v>
      </c>
      <c r="C39" s="18"/>
      <c r="D39" s="18"/>
      <c r="E39" s="18"/>
      <c r="F39" s="18"/>
    </row>
    <row r="40" spans="2:18">
      <c r="B40" s="35" t="s">
        <v>53</v>
      </c>
      <c r="C40" s="18"/>
      <c r="D40" s="18"/>
      <c r="E40" s="18"/>
      <c r="F40" s="18"/>
    </row>
    <row r="41" spans="2:18">
      <c r="B41" s="35" t="s">
        <v>54</v>
      </c>
      <c r="C41" s="18"/>
      <c r="D41" s="18"/>
      <c r="E41" s="18"/>
      <c r="F41" s="18"/>
    </row>
    <row r="42" spans="2:18">
      <c r="B42" s="35" t="s">
        <v>55</v>
      </c>
      <c r="C42" s="18"/>
      <c r="D42" s="18"/>
      <c r="E42" s="18"/>
      <c r="F42" s="18"/>
    </row>
    <row r="43" spans="2:18">
      <c r="B43" s="35" t="s">
        <v>56</v>
      </c>
      <c r="C43" s="18"/>
      <c r="D43" s="18"/>
      <c r="E43" s="18"/>
      <c r="F43" s="18"/>
    </row>
    <row r="44" spans="2:18">
      <c r="B44" s="35" t="s">
        <v>49</v>
      </c>
      <c r="C44" s="18"/>
      <c r="D44" s="18"/>
      <c r="E44" s="18"/>
      <c r="F44" s="18"/>
    </row>
  </sheetData>
  <pageMargins left="0.7" right="0.7" top="0.75" bottom="0.75" header="0.3" footer="0.3"/>
  <pageSetup orientation="portrait" r:id="rId1"/>
  <headerFooter>
    <oddHeader xml:space="preserve">&amp;Cby sai sanjay
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INTRO</vt:lpstr>
      <vt:lpstr>DATA</vt:lpstr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saire</dc:creator>
  <cp:lastModifiedBy>SAI SANJAY</cp:lastModifiedBy>
  <cp:lastPrinted>2025-12-12T06:14:44Z</cp:lastPrinted>
  <dcterms:created xsi:type="dcterms:W3CDTF">2025-12-09T06:12:00Z</dcterms:created>
  <dcterms:modified xsi:type="dcterms:W3CDTF">2025-12-12T06:20:10Z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FEF042CBB69644D280836D41AEC46E26_11</vt:lpwstr>
  </property>
  <property fmtid="{D5CDD505-2E9C-101B-9397-08002B2CF9AE}" pid="3" name="KSOProductBuildVer">
    <vt:lpwstr>2057-12.2.0.23158</vt:lpwstr>
  </property>
</Properties>
</file>